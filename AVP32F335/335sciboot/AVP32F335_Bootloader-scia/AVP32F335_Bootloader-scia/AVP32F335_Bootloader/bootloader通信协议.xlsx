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00" windowHeight="8760" activeTab="1"/>
  </bookViews>
  <sheets>
    <sheet name="数据包格式" sheetId="6" r:id="rId1"/>
    <sheet name="固件升级" sheetId="9" r:id="rId2"/>
    <sheet name="crc表" sheetId="10" r:id="rId3"/>
  </sheets>
  <calcPr calcId="144525"/>
</workbook>
</file>

<file path=xl/sharedStrings.xml><?xml version="1.0" encoding="utf-8"?>
<sst xmlns="http://schemas.openxmlformats.org/spreadsheetml/2006/main" count="224" uniqueCount="188">
  <si>
    <r>
      <rPr>
        <b/>
        <sz val="10.5"/>
        <color theme="1"/>
        <rFont val="Calibri"/>
        <charset val="134"/>
      </rPr>
      <t>1.</t>
    </r>
    <r>
      <rPr>
        <b/>
        <sz val="7"/>
        <color theme="1"/>
        <rFont val="Times New Roman"/>
        <charset val="134"/>
      </rPr>
      <t xml:space="preserve">       </t>
    </r>
    <r>
      <rPr>
        <b/>
        <u/>
        <sz val="10.5"/>
        <color theme="1"/>
        <rFont val="宋体"/>
        <charset val="134"/>
      </rPr>
      <t>通信协议格式说明</t>
    </r>
  </si>
  <si>
    <t>数据包格式</t>
  </si>
  <si>
    <t>SOF</t>
  </si>
  <si>
    <t>Ver/Len</t>
  </si>
  <si>
    <t>Header CRC-8</t>
  </si>
  <si>
    <t>DeviceType</t>
  </si>
  <si>
    <t>CmdID</t>
  </si>
  <si>
    <t>SeqNum</t>
  </si>
  <si>
    <t>Data</t>
  </si>
  <si>
    <t>CRC-16</t>
  </si>
  <si>
    <t>1-byte</t>
  </si>
  <si>
    <t>2-byte</t>
  </si>
  <si>
    <t>n- byte</t>
  </si>
  <si>
    <t>域</t>
  </si>
  <si>
    <t>偏移位置</t>
  </si>
  <si>
    <t>大小（字节）</t>
  </si>
  <si>
    <t>详细描述</t>
  </si>
  <si>
    <r>
      <rPr>
        <sz val="10.5"/>
        <color theme="1"/>
        <rFont val="宋体"/>
        <charset val="134"/>
      </rPr>
      <t>数据包起始字节，固定为</t>
    </r>
    <r>
      <rPr>
        <sz val="10.5"/>
        <color theme="1"/>
        <rFont val="Calibri"/>
        <charset val="134"/>
      </rPr>
      <t>0xCC</t>
    </r>
    <r>
      <rPr>
        <sz val="10.5"/>
        <color theme="1"/>
        <rFont val="宋体"/>
        <charset val="134"/>
      </rPr>
      <t>。</t>
    </r>
  </si>
  <si>
    <t>Version/Length</t>
  </si>
  <si>
    <r>
      <rPr>
        <sz val="10.5"/>
        <color theme="1"/>
        <rFont val="Calibri"/>
        <charset val="134"/>
      </rPr>
      <t xml:space="preserve">[15:3] -  </t>
    </r>
    <r>
      <rPr>
        <sz val="10.5"/>
        <color theme="1"/>
        <rFont val="宋体"/>
        <charset val="134"/>
      </rPr>
      <t>数据包长度，包括整个数据包的所有字节（从</t>
    </r>
    <r>
      <rPr>
        <sz val="10.5"/>
        <color theme="1"/>
        <rFont val="Calibri"/>
        <charset val="134"/>
      </rPr>
      <t>SOF</t>
    </r>
    <r>
      <rPr>
        <sz val="10.5"/>
        <color theme="1"/>
        <rFont val="宋体"/>
        <charset val="134"/>
      </rPr>
      <t>至</t>
    </r>
    <r>
      <rPr>
        <sz val="10.5"/>
        <color theme="1"/>
        <rFont val="Calibri"/>
        <charset val="134"/>
      </rPr>
      <t>CRC-16</t>
    </r>
    <r>
      <rPr>
        <sz val="10.5"/>
        <color theme="1"/>
        <rFont val="宋体"/>
        <charset val="134"/>
      </rPr>
      <t>）。</t>
    </r>
  </si>
  <si>
    <r>
      <rPr>
        <sz val="10.5"/>
        <color theme="1"/>
        <rFont val="Calibri"/>
        <charset val="134"/>
      </rPr>
      <t xml:space="preserve">[2:0] - </t>
    </r>
    <r>
      <rPr>
        <sz val="10.5"/>
        <color theme="1"/>
        <rFont val="宋体"/>
        <charset val="134"/>
      </rPr>
      <t>协议版本信息。目前版本该域为</t>
    </r>
    <r>
      <rPr>
        <sz val="10.5"/>
        <color theme="1"/>
        <rFont val="Calibri"/>
        <charset val="134"/>
      </rPr>
      <t>0</t>
    </r>
    <r>
      <rPr>
        <sz val="10.5"/>
        <color theme="1"/>
        <rFont val="宋体"/>
        <charset val="134"/>
      </rPr>
      <t>。</t>
    </r>
  </si>
  <si>
    <r>
      <rPr>
        <sz val="10.5"/>
        <color theme="1"/>
        <rFont val="宋体"/>
        <charset val="134"/>
      </rPr>
      <t>注：</t>
    </r>
    <r>
      <rPr>
        <sz val="10.5"/>
        <color theme="1"/>
        <rFont val="Calibri"/>
        <charset val="134"/>
      </rPr>
      <t>LSB</t>
    </r>
    <r>
      <rPr>
        <sz val="10.5"/>
        <color theme="1"/>
        <rFont val="宋体"/>
        <charset val="134"/>
      </rPr>
      <t>在前，</t>
    </r>
    <r>
      <rPr>
        <sz val="10.5"/>
        <color theme="1"/>
        <rFont val="Calibri"/>
        <charset val="134"/>
      </rPr>
      <t>MSB</t>
    </r>
    <r>
      <rPr>
        <sz val="10.5"/>
        <color theme="1"/>
        <rFont val="宋体"/>
        <charset val="134"/>
      </rPr>
      <t>在后。</t>
    </r>
  </si>
  <si>
    <r>
      <rPr>
        <sz val="10.5"/>
        <color theme="1"/>
        <rFont val="宋体"/>
        <charset val="134"/>
      </rPr>
      <t>包头校验码，是</t>
    </r>
    <r>
      <rPr>
        <sz val="10.5"/>
        <color theme="1"/>
        <rFont val="Calibri"/>
        <charset val="134"/>
      </rPr>
      <t>SOF</t>
    </r>
    <r>
      <rPr>
        <sz val="10.5"/>
        <color theme="1"/>
        <rFont val="宋体"/>
        <charset val="134"/>
      </rPr>
      <t>和</t>
    </r>
    <r>
      <rPr>
        <sz val="10.5"/>
        <color theme="1"/>
        <rFont val="Calibri"/>
        <charset val="134"/>
      </rPr>
      <t>Version/Length</t>
    </r>
    <r>
      <rPr>
        <sz val="10.5"/>
        <color theme="1"/>
        <rFont val="宋体"/>
        <charset val="134"/>
      </rPr>
      <t>三个字节的</t>
    </r>
    <r>
      <rPr>
        <sz val="10.5"/>
        <color theme="1"/>
        <rFont val="Calibri"/>
        <charset val="134"/>
      </rPr>
      <t>CRC-8</t>
    </r>
    <r>
      <rPr>
        <sz val="10.5"/>
        <color theme="1"/>
        <rFont val="宋体"/>
        <charset val="134"/>
      </rPr>
      <t>校验值。</t>
    </r>
  </si>
  <si>
    <r>
      <rPr>
        <sz val="10.5"/>
        <color theme="1"/>
        <rFont val="宋体"/>
        <charset val="134"/>
      </rPr>
      <t>注：如果接收端发现包头校验码出错，会将该包头扔掉，重新侦测</t>
    </r>
    <r>
      <rPr>
        <sz val="10.5"/>
        <color theme="1"/>
        <rFont val="Calibri"/>
        <charset val="134"/>
      </rPr>
      <t>SOF</t>
    </r>
    <r>
      <rPr>
        <sz val="10.5"/>
        <color theme="1"/>
        <rFont val="宋体"/>
        <charset val="134"/>
      </rPr>
      <t>。</t>
    </r>
  </si>
  <si>
    <r>
      <rPr>
        <sz val="10.5"/>
        <color theme="1"/>
        <rFont val="Calibri"/>
        <charset val="134"/>
      </rPr>
      <t xml:space="preserve">[7]:  </t>
    </r>
    <r>
      <rPr>
        <sz val="10.5"/>
        <color theme="1"/>
        <rFont val="宋体"/>
        <charset val="134"/>
      </rPr>
      <t>包类型，当为请求包时，其他位指定需应答设备；当为应答包时，其他位为表示本设备类型</t>
    </r>
  </si>
  <si>
    <r>
      <rPr>
        <sz val="10.5"/>
        <color theme="1"/>
        <rFont val="Calibri"/>
        <charset val="134"/>
      </rPr>
      <t xml:space="preserve">0: </t>
    </r>
    <r>
      <rPr>
        <sz val="10.5"/>
        <color theme="1"/>
        <rFont val="宋体"/>
        <charset val="134"/>
      </rPr>
      <t>请求包</t>
    </r>
  </si>
  <si>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：应答包</t>
    </r>
  </si>
  <si>
    <r>
      <rPr>
        <sz val="10.5"/>
        <color theme="1"/>
        <rFont val="Calibri"/>
        <charset val="134"/>
      </rPr>
      <t>[6:3]:</t>
    </r>
    <r>
      <rPr>
        <sz val="10.5"/>
        <color theme="1"/>
        <rFont val="宋体"/>
        <charset val="134"/>
      </rPr>
      <t>设备类型</t>
    </r>
  </si>
  <si>
    <r>
      <rPr>
        <sz val="10.5"/>
        <color theme="1"/>
        <rFont val="Calibri"/>
        <charset val="134"/>
      </rPr>
      <t>0</t>
    </r>
    <r>
      <rPr>
        <sz val="10.5"/>
        <color theme="1"/>
        <rFont val="宋体"/>
        <charset val="134"/>
      </rPr>
      <t>：飞机，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：水泵，其余保留</t>
    </r>
  </si>
  <si>
    <r>
      <rPr>
        <sz val="10.5"/>
        <color theme="1"/>
        <rFont val="Calibri"/>
        <charset val="134"/>
      </rPr>
      <t>[2:0]:</t>
    </r>
    <r>
      <rPr>
        <sz val="10.5"/>
        <color theme="1"/>
        <rFont val="宋体"/>
        <charset val="134"/>
      </rPr>
      <t>设备</t>
    </r>
    <r>
      <rPr>
        <sz val="10.5"/>
        <color theme="1"/>
        <rFont val="Calibri"/>
        <charset val="134"/>
      </rPr>
      <t>id</t>
    </r>
  </si>
  <si>
    <r>
      <rPr>
        <sz val="10.5"/>
        <color theme="1"/>
        <rFont val="宋体"/>
        <charset val="134"/>
      </rPr>
      <t>水泵默认为</t>
    </r>
    <r>
      <rPr>
        <sz val="10.5"/>
        <color theme="1"/>
        <rFont val="Calibri"/>
        <charset val="134"/>
      </rPr>
      <t>1</t>
    </r>
  </si>
  <si>
    <t>命令码，用于表示具体的操作请求。具体请参考命令集。</t>
  </si>
  <si>
    <t>序列号，用作数据包相对唯一的标识，区分不同的命令，并用作应答包的匹配。序列号由请求者产生，应答者在返回应答包时使用与请求包相同的序列号。</t>
  </si>
  <si>
    <t>N (0~1011)</t>
  </si>
  <si>
    <r>
      <rPr>
        <sz val="10.5"/>
        <color theme="1"/>
        <rFont val="宋体"/>
        <charset val="134"/>
      </rPr>
      <t>数据域，对请求或应答内容的具体描述。请求包可以无数据域。应答包数据域至少有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个字节，而且第一个字节固定为为返回码，用于表示请求操作的执行结果。</t>
    </r>
  </si>
  <si>
    <t>9+N</t>
  </si>
  <si>
    <r>
      <rPr>
        <sz val="10.5"/>
        <color theme="1"/>
        <rFont val="宋体"/>
        <charset val="134"/>
      </rPr>
      <t>数据包校验码，是前面所有字节（从</t>
    </r>
    <r>
      <rPr>
        <sz val="10.5"/>
        <color theme="1"/>
        <rFont val="Calibri"/>
        <charset val="134"/>
      </rPr>
      <t>SOF</t>
    </r>
    <r>
      <rPr>
        <sz val="10.5"/>
        <color theme="1"/>
        <rFont val="宋体"/>
        <charset val="134"/>
      </rPr>
      <t>至</t>
    </r>
    <r>
      <rPr>
        <sz val="10.5"/>
        <color theme="1"/>
        <rFont val="Calibri"/>
        <charset val="134"/>
      </rPr>
      <t>Data</t>
    </r>
    <r>
      <rPr>
        <sz val="10.5"/>
        <color theme="1"/>
        <rFont val="宋体"/>
        <charset val="134"/>
      </rPr>
      <t>）的</t>
    </r>
    <r>
      <rPr>
        <sz val="10.5"/>
        <color theme="1"/>
        <rFont val="Calibri"/>
        <charset val="134"/>
      </rPr>
      <t>CRC-16</t>
    </r>
    <r>
      <rPr>
        <sz val="10.5"/>
        <color theme="1"/>
        <rFont val="宋体"/>
        <charset val="134"/>
      </rPr>
      <t>校验值。</t>
    </r>
  </si>
  <si>
    <r>
      <rPr>
        <sz val="10.5"/>
        <color theme="1"/>
        <rFont val="宋体"/>
        <charset val="134"/>
      </rPr>
      <t>注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：如果接收端发现数据包的校验码出错，会将数据包将直接扔掉，不做任何处理。</t>
    </r>
  </si>
  <si>
    <r>
      <rPr>
        <sz val="10.5"/>
        <color theme="1"/>
        <rFont val="宋体"/>
        <charset val="134"/>
      </rPr>
      <t>注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：</t>
    </r>
    <r>
      <rPr>
        <sz val="10.5"/>
        <color theme="1"/>
        <rFont val="Calibri"/>
        <charset val="134"/>
      </rPr>
      <t>LSB</t>
    </r>
    <r>
      <rPr>
        <sz val="10.5"/>
        <color theme="1"/>
        <rFont val="宋体"/>
        <charset val="134"/>
      </rPr>
      <t>在前，</t>
    </r>
    <r>
      <rPr>
        <sz val="10.5"/>
        <color theme="1"/>
        <rFont val="Calibri"/>
        <charset val="134"/>
      </rPr>
      <t>MSB</t>
    </r>
    <r>
      <rPr>
        <sz val="10.5"/>
        <color theme="1"/>
        <rFont val="宋体"/>
        <charset val="134"/>
      </rPr>
      <t>在后。</t>
    </r>
  </si>
  <si>
    <t>功能</t>
  </si>
  <si>
    <t>发送长度</t>
  </si>
  <si>
    <t>应答</t>
  </si>
  <si>
    <t>字节</t>
  </si>
  <si>
    <t>内容</t>
  </si>
  <si>
    <t>进入loader</t>
  </si>
  <si>
    <t>0x72</t>
  </si>
  <si>
    <t>uint8_t</t>
  </si>
  <si>
    <t>保留</t>
  </si>
  <si>
    <t>通用应答</t>
  </si>
  <si>
    <t>进入升级</t>
  </si>
  <si>
    <t>0x70</t>
  </si>
  <si>
    <t>uint32_t</t>
  </si>
  <si>
    <t>固件大小，LSB在前，MSB在后</t>
  </si>
  <si>
    <t>0：可以进入下步骤</t>
  </si>
  <si>
    <t>1.固件超出mcu可存放APP大小</t>
  </si>
  <si>
    <t>uint16_t</t>
  </si>
  <si>
    <t>固件数据发送的分包长度</t>
  </si>
  <si>
    <t>查询设备状态</t>
  </si>
  <si>
    <t>0x71</t>
  </si>
  <si>
    <t>无</t>
  </si>
  <si>
    <t>1byte</t>
  </si>
  <si>
    <t>0：系统处于APP中，不可升级，请继续查询</t>
  </si>
  <si>
    <t>1：系统处于boot loader中，可以进入下一步骤</t>
  </si>
  <si>
    <t>2byte</t>
  </si>
  <si>
    <t>0x00</t>
  </si>
  <si>
    <t>0x00 未进行任何升级操作</t>
  </si>
  <si>
    <t>0x00 正在进入升级</t>
  </si>
  <si>
    <t>0x01 进入升级完成</t>
  </si>
  <si>
    <t>0x73</t>
  </si>
  <si>
    <t>0x00 正在写固件</t>
  </si>
  <si>
    <t>0x01 写固件成功</t>
  </si>
  <si>
    <t>0x02 写固件异常</t>
  </si>
  <si>
    <t>0x74</t>
  </si>
  <si>
    <t>0x00 升级完成，可以重启</t>
  </si>
  <si>
    <t>发送固件</t>
  </si>
  <si>
    <t>6+N</t>
  </si>
  <si>
    <t>序列号(LSB在前，MSB在后，从0开始，以1递增）</t>
  </si>
  <si>
    <t>0：接受正常，可以发送下一个分包</t>
  </si>
  <si>
    <t>本次固件数据长度</t>
  </si>
  <si>
    <t>1.接受到的总数超过MCU可存放APP大小</t>
  </si>
  <si>
    <t>N</t>
  </si>
  <si>
    <t>固件数据（1-980字节）</t>
  </si>
  <si>
    <t>2.包序列错误</t>
  </si>
  <si>
    <t>返回目前为止最后一个正常包的序列号</t>
  </si>
  <si>
    <t>升级结束</t>
  </si>
  <si>
    <t>[0:15]</t>
  </si>
  <si>
    <t>固件MD5校验码</t>
  </si>
  <si>
    <t xml:space="preserve">0：成功 </t>
  </si>
  <si>
    <t>1:文件大小不匹配</t>
  </si>
  <si>
    <t>2:超过文件过大</t>
  </si>
  <si>
    <t>3:MD5校验错误</t>
  </si>
  <si>
    <t>4:步骤错误</t>
  </si>
  <si>
    <t>5:其他错误</t>
  </si>
  <si>
    <t>重启</t>
  </si>
  <si>
    <t>0x75</t>
  </si>
  <si>
    <t>/*******************************************************************************</t>
  </si>
  <si>
    <t>*   Copyright (c) 2012 ICPUB.NET. All Rights Reserved.</t>
  </si>
  <si>
    <t>*</t>
  </si>
  <si>
    <t>*   文件名称: crc16.c</t>
  </si>
  <si>
    <t>*   简要描述: CRC16查表算法</t>
  </si>
  <si>
    <t>*     =x^16+x^15+x^2+1(CRC-16/IBM)</t>
  </si>
  <si>
    <t xml:space="preserve">*     init_crc16 = 0 </t>
  </si>
  <si>
    <t>*   当前版本: 1.0</t>
  </si>
  <si>
    <t xml:space="preserve">*   作    者: </t>
  </si>
  <si>
    <t xml:space="preserve">*   完成日期: </t>
  </si>
  <si>
    <t>*   说    明: 创建</t>
  </si>
  <si>
    <t>*******************************************************************************/</t>
  </si>
  <si>
    <t>#include &lt;stdint.h&gt;</t>
  </si>
  <si>
    <t>////////////////////////////////////////////////////////////////////////////////</t>
  </si>
  <si>
    <t>//</t>
  </si>
  <si>
    <t>//  CRC16码表</t>
  </si>
  <si>
    <t xml:space="preserve">static uint16_t const CRC16Table[256] = {   </t>
  </si>
  <si>
    <t>    0x0000, 0xC0C1, 0xC181, 0x0140, 0xC301, 0x03C0, 0x0280, 0xC241,</t>
  </si>
  <si>
    <t>    0xC601, 0x06C0, 0x0780, 0xC741, 0x0500, 0xC5C1, 0xC481, 0x0440,</t>
  </si>
  <si>
    <t>    0xCC01, 0x0CC0, 0x0D80, 0xCD41, 0x0F00, 0xCFC1, 0xCE81, 0x0E40,</t>
  </si>
  <si>
    <t>    0x0A00, 0xCAC1, 0xCB81, 0x0B40, 0xC901, 0x09C0, 0x0880, 0xC841,</t>
  </si>
  <si>
    <t>    0xD801, 0x18C0, 0x1980, 0xD941, 0x1B00, 0xDBC1, 0xDA81, 0x1A40,</t>
  </si>
  <si>
    <t>    0x1E00, 0xDEC1, 0xDF81, 0x1F40, 0xDD01, 0x1DC0, 0x1C80, 0xDC41,</t>
  </si>
  <si>
    <t>    0x1400, 0xD4C1, 0xD581, 0x1540, 0xD701, 0x17C0, 0x1680, 0xD641,</t>
  </si>
  <si>
    <t>    0xD201, 0x12C0, 0x1380, 0xD341, 0x1100, 0xD1C1, 0xD081, 0x1040,</t>
  </si>
  <si>
    <t>    0xF001, 0x30C0, 0x3180, 0xF141, 0x3300, 0xF3C1, 0xF281, 0x3240,</t>
  </si>
  <si>
    <t>    0x3600, 0xF6C1, 0xF781, 0x3740, 0xF501, 0x35C0, 0x3480, 0xF441,</t>
  </si>
  <si>
    <t>    0x3C00, 0xFCC1, 0xFD81, 0x3D40, 0xFF01, 0x3FC0, 0x3E80, 0xFE41,</t>
  </si>
  <si>
    <t>    0xFA01, 0x3AC0, 0x3B80, 0xFB41, 0x3900, 0xF9C1, 0xF881, 0x3840,</t>
  </si>
  <si>
    <t>    0x2800, 0xE8C1, 0xE981, 0x2940, 0xEB01, 0x2BC0, 0x2A80, 0xEA41,</t>
  </si>
  <si>
    <t>    0xEE01, 0x2EC0, 0x2F80, 0xEF41, 0x2D00, 0xEDC1, 0xEC81, 0x2C40,</t>
  </si>
  <si>
    <t>    0xE401, 0x24C0, 0x2580, 0xE541, 0x2700, 0xE7C1, 0xE681, 0x2640,</t>
  </si>
  <si>
    <t>    0x2200, 0xE2C1, 0xE381, 0x2340, 0xE101, 0x21C0, 0x2080, 0xE041,</t>
  </si>
  <si>
    <t>    0xA001, 0x60C0, 0x6180, 0xA141, 0x6300, 0xA3C1, 0xA281, 0x6240,</t>
  </si>
  <si>
    <t>    0x6600, 0xA6C1, 0xA781, 0x6740, 0xA501, 0x65C0, 0x6480, 0xA441,</t>
  </si>
  <si>
    <t>    0x6C00, 0xACC1, 0xAD81, 0x6D40, 0xAF01, 0x6FC0, 0x6E80, 0xAE41,</t>
  </si>
  <si>
    <t>    0xAA01, 0x6AC0, 0x6B80, 0xAB41, 0x6900, 0xA9C1, 0xA881, 0x6840,</t>
  </si>
  <si>
    <t>    0x7800, 0xB8C1, 0xB981, 0x7940, 0xBB01, 0x7BC0, 0x7A80, 0xBA41,</t>
  </si>
  <si>
    <t>    0xBE01, 0x7EC0, 0x7F80, 0xBF41, 0x7D00, 0xBDC1, 0xBC81, 0x7C40,</t>
  </si>
  <si>
    <t>    0xB401, 0x74C0, 0x7580, 0xB541, 0x7700, 0xB7C1, 0xB681, 0x7640,</t>
  </si>
  <si>
    <t>    0x7200, 0xB2C1, 0xB381, 0x7340, 0xB101, 0x71C0, 0x7080, 0xB041,</t>
  </si>
  <si>
    <t>    0x5000, 0x90C1, 0x9181, 0x5140, 0x9301, 0x53C0, 0x5280, 0x9241,</t>
  </si>
  <si>
    <t>    0x9601, 0x56C0, 0x5780, 0x9741, 0x5500, 0x95C1, 0x9481, 0x5440,</t>
  </si>
  <si>
    <t>    0x9C01, 0x5CC0, 0x5D80, 0x9D41, 0x5F00, 0x9FC1, 0x9E81, 0x5E40,</t>
  </si>
  <si>
    <t>    0x5A00, 0x9AC1, 0x9B81, 0x5B40, 0x9901, 0x59C0, 0x5880, 0x9841,</t>
  </si>
  <si>
    <t>    0x8801, 0x48C0, 0x4980, 0x8941, 0x4B00, 0x8BC1, 0x8A81, 0x4A40,</t>
  </si>
  <si>
    <t>    0x4E00, 0x8EC1, 0x8F81, 0x4F40, 0x8D01, 0x4DC0, 0x4C80, 0x8C41,</t>
  </si>
  <si>
    <t>    0x4400, 0x84C1, 0x8581, 0x4540, 0x8701, 0x47C0, 0x4680, 0x8641,</t>
  </si>
  <si>
    <t>    0x8201, 0x42C0, 0x4380, 0x8341, 0x4100, 0x81C1, 0x8081, 0x4040</t>
  </si>
  <si>
    <t>};</t>
  </si>
  <si>
    <t>/** crc8 = x^8+x^5+x^4+1 **/</t>
  </si>
  <si>
    <t>/** init_crc8 = 0 **/</t>
  </si>
  <si>
    <r>
      <rPr>
        <sz val="11"/>
        <color theme="1"/>
        <rFont val="宋体"/>
        <charset val="134"/>
        <scheme val="minor"/>
      </rPr>
      <t>satic uint8_t</t>
    </r>
    <r>
      <rPr>
        <sz val="9.5"/>
        <color rgb="FF000000"/>
        <rFont val="新宋体"/>
        <charset val="134"/>
      </rPr>
      <t xml:space="preserve"> CRC8_TAB[256] =</t>
    </r>
  </si>
  <si>
    <t>{</t>
  </si>
  <si>
    <t>0x00, 0x5e, 0xbc, 0xe2, 0x61, 0x3f, 0xdd, 0x83, 0xc2, 0x9c, 0x7e, 0x20, 0xa3, 0xfd, 0x1f, 0x41,</t>
  </si>
  <si>
    <t>0x9d, 0xc3, 0x21, 0x7f, 0xfc, 0xa2, 0x40, 0x1e, 0x5f, 0x01, 0xe3, 0xbd, 0x3e, 0x60, 0x82, 0xdc,</t>
  </si>
  <si>
    <t>0x23, 0x7d, 0x9f, 0xc1, 0x42, 0x1c, 0xfe, 0xa0, 0xe1, 0xbf, 0x5d, 0x03, 0x80, 0xde, 0x3c, 0x62,</t>
  </si>
  <si>
    <t>0xbe, 0xe0, 0x02, 0x5c, 0xdf, 0x81, 0x63, 0x3d, 0x7c, 0x22, 0xc0, 0x9e, 0x1d, 0x43, 0xa1, 0xff,</t>
  </si>
  <si>
    <t>0x46, 0x18, 0xfa, 0xa4, 0x27, 0x79, 0x9b, 0xc5, 0x84, 0xda, 0x38, 0x66, 0xe5, 0xbb, 0x59, 0x07,</t>
  </si>
  <si>
    <t>0xdb, 0x85, 0x67, 0x39, 0xba, 0xe4, 0x06, 0x58, 0x19, 0x47, 0xa5, 0xfb, 0x78, 0x26, 0xc4, 0x9a,</t>
  </si>
  <si>
    <t>0x65, 0x3b, 0xd9, 0x87, 0x04, 0x5a, 0xb8, 0xe6, 0xa7, 0xf9, 0x1b, 0x45, 0xc6, 0x98, 0x7a, 0x24,</t>
  </si>
  <si>
    <t>0xf8, 0xa6, 0x44, 0x1a, 0x99, 0xc7, 0x25, 0x7b, 0x3a, 0x64, 0x86, 0xd8, 0x5b, 0x05, 0xe7, 0xb9,</t>
  </si>
  <si>
    <t>0x8c, 0xd2, 0x30, 0x6e, 0xed, 0xb3, 0x51, 0x0f, 0x4e, 0x10, 0xf2, 0xac, 0x2f, 0x71, 0x93, 0xcd,</t>
  </si>
  <si>
    <t>0x11, 0x4f, 0xad, 0xf3, 0x70, 0x2e, 0xcc, 0x92, 0xd3, 0x8d, 0x6f, 0x31, 0xb2, 0xec, 0x0e, 0x50,</t>
  </si>
  <si>
    <t>0xaf, 0xf1, 0x13, 0x4d, 0xce, 0x90, 0x72, 0x2c, 0x6d, 0x33, 0xd1, 0x8f, 0x0c, 0x52, 0xb0, 0xee,</t>
  </si>
  <si>
    <t>0x32, 0x6c, 0x8e, 0xd0, 0x53, 0x0d, 0xef, 0xb1, 0xf0, 0xae, 0x4c, 0x12, 0x91, 0xcf, 0x2d, 0x73,</t>
  </si>
  <si>
    <t>0xca, 0x94, 0x76, 0x28, 0xab, 0xf5, 0x17, 0x49, 0x08, 0x56, 0xb4, 0xea, 0x69, 0x37, 0xd5, 0x8b,</t>
  </si>
  <si>
    <t>0x57, 0x09, 0xeb, 0xb5, 0x36, 0x68, 0x8a, 0xd4, 0x95, 0xcb, 0x29, 0x77, 0xf4, 0xaa, 0x48, 0x16,</t>
  </si>
  <si>
    <t>0xe9, 0xb7, 0x55, 0x0b, 0x88, 0xd6, 0x34, 0x6a, 0x2b, 0x75, 0x97, 0xc9, 0x4a, 0x14, 0xf6, 0xa8,</t>
  </si>
  <si>
    <t>0x74, 0x2a, 0xc8, 0x96, 0x15, 0x4b, 0xa9, 0xf7, 0xb6, 0xe8, 0x0a, 0x54, 0xd7, 0x89, 0x6b, 0x35,</t>
  </si>
  <si>
    <t>uint8_t crc8_calc(uint8_t* buf, uint32_t len)</t>
  </si>
  <si>
    <t>uint8_t i;</t>
  </si>
  <si>
    <t>uint8_t crc8 = 0;</t>
  </si>
  <si>
    <t>while (len--)</t>
  </si>
  <si>
    <t xml:space="preserve">    i = crc8 ^ (*buf++);</t>
  </si>
  <si>
    <t xml:space="preserve">    crc8 = CRC8_TAB[i];</t>
  </si>
  <si>
    <t>}</t>
  </si>
  <si>
    <t>return crc8;</t>
  </si>
  <si>
    <t>*   函数名称: CRC16</t>
  </si>
  <si>
    <t>*   功能描述: 查表法计算CRC16.</t>
  </si>
  <si>
    <t>*   输入参数: dataIn -- 待校验数据</t>
  </si>
  <si>
    <t>*             length -- 数据长度</t>
  </si>
  <si>
    <t>*   返 回 值: 校验值</t>
  </si>
  <si>
    <t>uint16_t CRC16(uint8_t* dataIn, int length)</t>
  </si>
  <si>
    <t xml:space="preserve">{  </t>
  </si>
  <si>
    <t>    uint16_t result  = 0;</t>
  </si>
  <si>
    <t>    uint16_t tableNo = 0;</t>
  </si>
  <si>
    <t>    for(int i = 0; i &lt; length; i++)</t>
  </si>
  <si>
    <t>    {</t>
  </si>
  <si>
    <t>        tableNo = ((result  ^ dataIn[i] ）&amp; 0xff);</t>
  </si>
  <si>
    <t>        result  = (result &gt;&gt; 8 ) ^ CRC16Table[tableNo];</t>
  </si>
  <si>
    <t>    }</t>
  </si>
  <si>
    <t xml:space="preserve">    return result; 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</si>
</sst>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b/>
      <sz val="10.5"/>
      <color theme="1"/>
      <name val="Calibri"/>
      <charset val="134"/>
    </font>
    <font>
      <i/>
      <sz val="10.5"/>
      <color theme="1"/>
      <name val="黑体"/>
      <charset val="134"/>
    </font>
    <font>
      <sz val="10.5"/>
      <color theme="1"/>
      <name val="Calibri"/>
      <charset val="134"/>
    </font>
    <font>
      <sz val="11"/>
      <color theme="1"/>
      <name val="Calibri"/>
      <charset val="134"/>
    </font>
    <font>
      <b/>
      <sz val="10.5"/>
      <color theme="1"/>
      <name val="宋体"/>
      <charset val="134"/>
    </font>
    <font>
      <sz val="10.5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.5"/>
      <color rgb="FF000000"/>
      <name val="新宋体"/>
      <charset val="134"/>
    </font>
    <font>
      <b/>
      <sz val="7"/>
      <color theme="1"/>
      <name val="Times New Roman"/>
      <charset val="134"/>
    </font>
    <font>
      <b/>
      <u/>
      <sz val="10.5"/>
      <color theme="1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1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10" borderId="44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4" borderId="45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6" applyNumberFormat="0" applyFill="0" applyAlignment="0" applyProtection="0">
      <alignment vertical="center"/>
    </xf>
    <xf numFmtId="0" fontId="23" fillId="0" borderId="46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8" fillId="0" borderId="47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4" fillId="18" borderId="48" applyNumberFormat="0" applyAlignment="0" applyProtection="0">
      <alignment vertical="center"/>
    </xf>
    <xf numFmtId="0" fontId="25" fillId="18" borderId="44" applyNumberFormat="0" applyAlignment="0" applyProtection="0">
      <alignment vertical="center"/>
    </xf>
    <xf numFmtId="0" fontId="26" fillId="19" borderId="49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7" fillId="0" borderId="50" applyNumberFormat="0" applyFill="0" applyAlignment="0" applyProtection="0">
      <alignment vertical="center"/>
    </xf>
    <xf numFmtId="0" fontId="28" fillId="0" borderId="51" applyNumberFormat="0" applyFill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</cellStyleXfs>
  <cellXfs count="16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20" fontId="1" fillId="0" borderId="9" xfId="0" applyNumberFormat="1" applyFont="1" applyBorder="1" applyAlignment="1">
      <alignment horizontal="left" vertical="center"/>
    </xf>
    <xf numFmtId="0" fontId="1" fillId="0" borderId="9" xfId="0" applyFont="1" applyBorder="1" applyAlignment="1">
      <alignment horizontal="center"/>
    </xf>
    <xf numFmtId="0" fontId="1" fillId="0" borderId="21" xfId="0" applyFont="1" applyBorder="1" applyAlignment="1">
      <alignment vertical="center"/>
    </xf>
    <xf numFmtId="20" fontId="1" fillId="0" borderId="14" xfId="0" applyNumberFormat="1" applyFont="1" applyBorder="1" applyAlignment="1">
      <alignment horizontal="left" vertical="center"/>
    </xf>
    <xf numFmtId="0" fontId="1" fillId="0" borderId="14" xfId="0" applyFont="1" applyBorder="1" applyAlignment="1">
      <alignment horizontal="center"/>
    </xf>
    <xf numFmtId="0" fontId="1" fillId="0" borderId="22" xfId="0" applyFont="1" applyBorder="1" applyAlignment="1">
      <alignment vertical="center"/>
    </xf>
    <xf numFmtId="0" fontId="1" fillId="0" borderId="22" xfId="0" applyFont="1" applyBorder="1"/>
    <xf numFmtId="0" fontId="4" fillId="0" borderId="14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vertical="center"/>
    </xf>
    <xf numFmtId="20" fontId="1" fillId="0" borderId="19" xfId="0" applyNumberFormat="1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8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20" fontId="1" fillId="0" borderId="29" xfId="0" applyNumberFormat="1" applyFont="1" applyBorder="1" applyAlignment="1">
      <alignment horizontal="left" vertical="center"/>
    </xf>
    <xf numFmtId="20" fontId="1" fillId="0" borderId="30" xfId="0" applyNumberFormat="1" applyFont="1" applyBorder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7" fillId="3" borderId="35" xfId="0" applyFont="1" applyFill="1" applyBorder="1" applyAlignment="1">
      <alignment horizontal="center" vertical="center" wrapText="1"/>
    </xf>
    <xf numFmtId="0" fontId="8" fillId="4" borderId="36" xfId="0" applyFont="1" applyFill="1" applyBorder="1"/>
    <xf numFmtId="0" fontId="7" fillId="3" borderId="37" xfId="0" applyFont="1" applyFill="1" applyBorder="1" applyAlignment="1">
      <alignment horizontal="center" vertical="center" wrapText="1"/>
    </xf>
    <xf numFmtId="0" fontId="7" fillId="5" borderId="36" xfId="0" applyFont="1" applyFill="1" applyBorder="1" applyAlignment="1">
      <alignment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7" fillId="7" borderId="37" xfId="0" applyFont="1" applyFill="1" applyBorder="1" applyAlignment="1">
      <alignment horizontal="center" vertical="center" wrapText="1"/>
    </xf>
    <xf numFmtId="0" fontId="7" fillId="3" borderId="39" xfId="0" applyFont="1" applyFill="1" applyBorder="1" applyAlignment="1">
      <alignment horizontal="center" vertical="center" wrapText="1"/>
    </xf>
    <xf numFmtId="0" fontId="8" fillId="4" borderId="40" xfId="0" applyFont="1" applyFill="1" applyBorder="1"/>
    <xf numFmtId="0" fontId="7" fillId="3" borderId="41" xfId="0" applyFont="1" applyFill="1" applyBorder="1" applyAlignment="1">
      <alignment horizontal="center" vertical="center" wrapText="1"/>
    </xf>
    <xf numFmtId="0" fontId="7" fillId="5" borderId="40" xfId="0" applyFont="1" applyFill="1" applyBorder="1" applyAlignment="1">
      <alignment vertical="center" wrapText="1"/>
    </xf>
    <xf numFmtId="0" fontId="7" fillId="6" borderId="39" xfId="0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 wrapText="1"/>
    </xf>
    <xf numFmtId="0" fontId="7" fillId="7" borderId="4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justify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left" vertical="center" wrapText="1"/>
    </xf>
    <xf numFmtId="0" fontId="7" fillId="0" borderId="42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justify" vertical="center" wrapText="1"/>
    </xf>
    <xf numFmtId="0" fontId="10" fillId="0" borderId="35" xfId="0" applyFont="1" applyBorder="1" applyAlignment="1">
      <alignment horizontal="justify" vertical="center" wrapText="1"/>
    </xf>
    <xf numFmtId="0" fontId="10" fillId="0" borderId="42" xfId="0" applyFont="1" applyBorder="1" applyAlignment="1">
      <alignment horizontal="left" vertical="center" wrapText="1"/>
    </xf>
    <xf numFmtId="0" fontId="10" fillId="0" borderId="39" xfId="0" applyFont="1" applyBorder="1" applyAlignment="1">
      <alignment horizontal="left" vertical="center" wrapText="1"/>
    </xf>
    <xf numFmtId="0" fontId="7" fillId="0" borderId="42" xfId="0" applyFont="1" applyBorder="1" applyAlignment="1">
      <alignment horizontal="justify" vertical="center" wrapText="1"/>
    </xf>
    <xf numFmtId="0" fontId="10" fillId="0" borderId="35" xfId="0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0" fillId="0" borderId="42" xfId="0" applyFont="1" applyBorder="1" applyAlignment="1">
      <alignment horizontal="left" vertical="top" wrapText="1"/>
    </xf>
    <xf numFmtId="0" fontId="10" fillId="0" borderId="35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justify" vertical="center" wrapText="1"/>
    </xf>
    <xf numFmtId="0" fontId="7" fillId="7" borderId="38" xfId="0" applyFont="1" applyFill="1" applyBorder="1" applyAlignment="1">
      <alignment horizontal="center" vertical="center" wrapText="1"/>
    </xf>
    <xf numFmtId="0" fontId="7" fillId="8" borderId="35" xfId="0" applyFont="1" applyFill="1" applyBorder="1" applyAlignment="1">
      <alignment horizontal="center" vertical="center" wrapText="1"/>
    </xf>
    <xf numFmtId="0" fontId="7" fillId="8" borderId="37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8" borderId="39" xfId="0" applyFont="1" applyFill="1" applyBorder="1" applyAlignment="1">
      <alignment horizontal="center" vertical="center" wrapText="1"/>
    </xf>
    <xf numFmtId="0" fontId="7" fillId="8" borderId="41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0" fillId="0" borderId="0" xfId="0" applyAlignment="1"/>
    <xf numFmtId="0" fontId="10" fillId="0" borderId="3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justify" vertical="center" wrapText="1"/>
    </xf>
    <xf numFmtId="0" fontId="7" fillId="0" borderId="37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43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10" fillId="0" borderId="41" xfId="0" applyFont="1" applyBorder="1" applyAlignment="1">
      <alignment horizontal="justify" vertical="center" wrapText="1"/>
    </xf>
    <xf numFmtId="0" fontId="10" fillId="0" borderId="27" xfId="0" applyFont="1" applyBorder="1" applyAlignment="1">
      <alignment horizontal="justify" vertical="center" wrapText="1"/>
    </xf>
    <xf numFmtId="0" fontId="10" fillId="0" borderId="37" xfId="0" applyFont="1" applyBorder="1" applyAlignment="1">
      <alignment horizontal="justify" vertical="center" wrapText="1"/>
    </xf>
    <xf numFmtId="0" fontId="10" fillId="0" borderId="38" xfId="0" applyFont="1" applyBorder="1" applyAlignment="1">
      <alignment horizontal="justify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43" xfId="0" applyFont="1" applyBorder="1" applyAlignment="1">
      <alignment horizontal="left" vertical="center" wrapText="1"/>
    </xf>
    <xf numFmtId="0" fontId="10" fillId="0" borderId="41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7" fillId="0" borderId="0" xfId="0" applyFont="1" applyAlignment="1">
      <alignment horizontal="justify" vertical="center" wrapText="1"/>
    </xf>
    <xf numFmtId="0" fontId="7" fillId="0" borderId="43" xfId="0" applyFont="1" applyBorder="1" applyAlignment="1">
      <alignment horizontal="justify" vertical="center" wrapText="1"/>
    </xf>
    <xf numFmtId="0" fontId="10" fillId="0" borderId="37" xfId="0" applyFont="1" applyBorder="1" applyAlignment="1">
      <alignment horizontal="left" vertical="top" wrapText="1"/>
    </xf>
    <xf numFmtId="0" fontId="10" fillId="0" borderId="38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43" xfId="0" applyFont="1" applyBorder="1" applyAlignment="1">
      <alignment horizontal="left" vertical="top" wrapText="1"/>
    </xf>
    <xf numFmtId="0" fontId="10" fillId="0" borderId="37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0" xfId="0" applyFont="1" applyAlignment="1">
      <alignment horizontal="justify" vertical="center" wrapText="1"/>
    </xf>
    <xf numFmtId="0" fontId="10" fillId="0" borderId="43" xfId="0" applyFont="1" applyBorder="1" applyAlignment="1">
      <alignment horizontal="justify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workbookViewId="0">
      <selection activeCell="C27" sqref="C27:D28"/>
    </sheetView>
  </sheetViews>
  <sheetFormatPr defaultColWidth="9" defaultRowHeight="13.5"/>
  <cols>
    <col min="1" max="1" width="24.6283185840708" customWidth="1"/>
    <col min="5" max="5" width="10.1238938053097" customWidth="1"/>
    <col min="12" max="12" width="22.2477876106195" customWidth="1"/>
  </cols>
  <sheetData>
    <row r="1" ht="13.9" spans="1:1">
      <c r="A1" s="69" t="s">
        <v>0</v>
      </c>
    </row>
    <row r="2" ht="14.25" spans="1:1">
      <c r="A2" s="70" t="s">
        <v>1</v>
      </c>
    </row>
    <row r="3" ht="14.25" customHeight="1" spans="1:12">
      <c r="A3" s="71" t="s">
        <v>2</v>
      </c>
      <c r="B3" s="72" t="s">
        <v>3</v>
      </c>
      <c r="C3" s="73" t="s">
        <v>4</v>
      </c>
      <c r="D3" s="73"/>
      <c r="E3" s="74" t="s">
        <v>5</v>
      </c>
      <c r="F3" s="75" t="s">
        <v>6</v>
      </c>
      <c r="G3" s="76"/>
      <c r="H3" s="77" t="s">
        <v>7</v>
      </c>
      <c r="I3" s="123"/>
      <c r="J3" s="124" t="s">
        <v>8</v>
      </c>
      <c r="K3" s="125"/>
      <c r="L3" s="126" t="s">
        <v>9</v>
      </c>
    </row>
    <row r="4" ht="15" spans="1:12">
      <c r="A4" s="78" t="s">
        <v>10</v>
      </c>
      <c r="B4" s="79" t="s">
        <v>11</v>
      </c>
      <c r="C4" s="80" t="s">
        <v>10</v>
      </c>
      <c r="D4" s="80"/>
      <c r="E4" s="81" t="s">
        <v>10</v>
      </c>
      <c r="F4" s="82" t="s">
        <v>11</v>
      </c>
      <c r="G4" s="83"/>
      <c r="H4" s="84" t="s">
        <v>11</v>
      </c>
      <c r="I4" s="127"/>
      <c r="J4" s="128" t="s">
        <v>12</v>
      </c>
      <c r="K4" s="129"/>
      <c r="L4" s="130" t="s">
        <v>11</v>
      </c>
    </row>
    <row r="5" ht="14.25" spans="1:15">
      <c r="A5" s="85" t="s">
        <v>13</v>
      </c>
      <c r="B5" s="86"/>
      <c r="C5" s="85" t="s">
        <v>14</v>
      </c>
      <c r="D5" s="86"/>
      <c r="E5" s="85" t="s">
        <v>15</v>
      </c>
      <c r="F5" s="87"/>
      <c r="G5" s="86"/>
      <c r="H5" s="85" t="s">
        <v>16</v>
      </c>
      <c r="I5" s="87"/>
      <c r="J5" s="87"/>
      <c r="K5" s="87"/>
      <c r="L5" s="86"/>
      <c r="N5" s="131"/>
      <c r="O5" s="131"/>
    </row>
    <row r="6" ht="14.6" spans="1:15">
      <c r="A6" s="88" t="s">
        <v>2</v>
      </c>
      <c r="B6" s="89"/>
      <c r="C6" s="90">
        <v>0</v>
      </c>
      <c r="D6" s="91"/>
      <c r="E6" s="90">
        <v>1</v>
      </c>
      <c r="F6" s="92"/>
      <c r="G6" s="91"/>
      <c r="H6" s="93" t="s">
        <v>17</v>
      </c>
      <c r="I6" s="132"/>
      <c r="J6" s="132"/>
      <c r="K6" s="132"/>
      <c r="L6" s="133"/>
      <c r="N6" s="131"/>
      <c r="O6" s="131"/>
    </row>
    <row r="7" ht="14.25" customHeight="1" spans="1:12">
      <c r="A7" s="94" t="s">
        <v>18</v>
      </c>
      <c r="B7" s="95"/>
      <c r="C7" s="96">
        <f>C6+E6</f>
        <v>1</v>
      </c>
      <c r="D7" s="97"/>
      <c r="E7" s="96">
        <v>2</v>
      </c>
      <c r="F7" s="98"/>
      <c r="G7" s="97"/>
      <c r="H7" s="99" t="s">
        <v>19</v>
      </c>
      <c r="I7" s="134"/>
      <c r="J7" s="134"/>
      <c r="K7" s="134"/>
      <c r="L7" s="135"/>
    </row>
    <row r="8" ht="14.25" customHeight="1" spans="1:12">
      <c r="A8" s="100"/>
      <c r="B8" s="101"/>
      <c r="C8" s="102"/>
      <c r="D8" s="103"/>
      <c r="E8" s="102"/>
      <c r="F8" s="104"/>
      <c r="G8" s="103"/>
      <c r="H8" s="105"/>
      <c r="I8" s="136"/>
      <c r="J8" s="136"/>
      <c r="K8" s="136"/>
      <c r="L8" s="137"/>
    </row>
    <row r="9" ht="14.25" customHeight="1" spans="1:12">
      <c r="A9" s="100"/>
      <c r="B9" s="101"/>
      <c r="C9" s="102"/>
      <c r="D9" s="103"/>
      <c r="E9" s="102"/>
      <c r="F9" s="104"/>
      <c r="G9" s="103"/>
      <c r="H9" s="106" t="s">
        <v>20</v>
      </c>
      <c r="I9" s="138"/>
      <c r="J9" s="138"/>
      <c r="K9" s="138"/>
      <c r="L9" s="139"/>
    </row>
    <row r="10" ht="14.25" customHeight="1" spans="1:12">
      <c r="A10" s="107"/>
      <c r="B10" s="108"/>
      <c r="C10" s="109"/>
      <c r="D10" s="110"/>
      <c r="E10" s="109"/>
      <c r="F10" s="111"/>
      <c r="G10" s="110"/>
      <c r="H10" s="112" t="s">
        <v>21</v>
      </c>
      <c r="I10" s="140"/>
      <c r="J10" s="140"/>
      <c r="K10" s="140"/>
      <c r="L10" s="141"/>
    </row>
    <row r="11" customHeight="1" spans="1:12">
      <c r="A11" s="94" t="s">
        <v>4</v>
      </c>
      <c r="B11" s="95"/>
      <c r="C11" s="96">
        <f>C7+E7</f>
        <v>3</v>
      </c>
      <c r="D11" s="97"/>
      <c r="E11" s="96">
        <v>1</v>
      </c>
      <c r="F11" s="98"/>
      <c r="G11" s="97"/>
      <c r="H11" s="113" t="s">
        <v>22</v>
      </c>
      <c r="I11" s="142"/>
      <c r="J11" s="142"/>
      <c r="K11" s="142"/>
      <c r="L11" s="143"/>
    </row>
    <row r="12" customHeight="1" spans="1:12">
      <c r="A12" s="100"/>
      <c r="B12" s="101"/>
      <c r="C12" s="102"/>
      <c r="D12" s="103"/>
      <c r="E12" s="102"/>
      <c r="F12" s="104"/>
      <c r="G12" s="103"/>
      <c r="H12" s="114" t="s">
        <v>23</v>
      </c>
      <c r="I12" s="144"/>
      <c r="J12" s="144"/>
      <c r="K12" s="144"/>
      <c r="L12" s="145"/>
    </row>
    <row r="13" ht="14.25" customHeight="1" spans="1:12">
      <c r="A13" s="107"/>
      <c r="B13" s="108"/>
      <c r="C13" s="109"/>
      <c r="D13" s="110"/>
      <c r="E13" s="109"/>
      <c r="F13" s="111"/>
      <c r="G13" s="110"/>
      <c r="H13" s="115"/>
      <c r="I13" s="146"/>
      <c r="J13" s="146"/>
      <c r="K13" s="146"/>
      <c r="L13" s="147"/>
    </row>
    <row r="14" ht="35.25" customHeight="1" spans="1:12">
      <c r="A14" s="94" t="s">
        <v>5</v>
      </c>
      <c r="B14" s="95"/>
      <c r="C14" s="96">
        <f>C11+E11</f>
        <v>4</v>
      </c>
      <c r="D14" s="97"/>
      <c r="E14" s="96">
        <v>1</v>
      </c>
      <c r="F14" s="98"/>
      <c r="G14" s="97"/>
      <c r="H14" s="116" t="s">
        <v>24</v>
      </c>
      <c r="I14" s="148"/>
      <c r="J14" s="148"/>
      <c r="K14" s="148"/>
      <c r="L14" s="149"/>
    </row>
    <row r="15" ht="13.85" spans="1:12">
      <c r="A15" s="100"/>
      <c r="B15" s="101"/>
      <c r="C15" s="102"/>
      <c r="D15" s="103"/>
      <c r="E15" s="102"/>
      <c r="F15" s="104"/>
      <c r="G15" s="103"/>
      <c r="H15" s="116" t="s">
        <v>25</v>
      </c>
      <c r="I15" s="148"/>
      <c r="J15" s="148"/>
      <c r="K15" s="148"/>
      <c r="L15" s="149"/>
    </row>
    <row r="16" ht="14.6" spans="1:12">
      <c r="A16" s="100"/>
      <c r="B16" s="101"/>
      <c r="C16" s="102"/>
      <c r="D16" s="103"/>
      <c r="E16" s="102"/>
      <c r="F16" s="104"/>
      <c r="G16" s="103"/>
      <c r="H16" s="116" t="s">
        <v>26</v>
      </c>
      <c r="I16" s="148"/>
      <c r="J16" s="148"/>
      <c r="K16" s="148"/>
      <c r="L16" s="149"/>
    </row>
    <row r="17" ht="34.5" customHeight="1" spans="1:12">
      <c r="A17" s="100"/>
      <c r="B17" s="101"/>
      <c r="C17" s="102"/>
      <c r="D17" s="103"/>
      <c r="E17" s="102"/>
      <c r="F17" s="104"/>
      <c r="G17" s="103"/>
      <c r="H17" s="99" t="s">
        <v>27</v>
      </c>
      <c r="I17" s="134"/>
      <c r="J17" s="134"/>
      <c r="K17" s="134"/>
      <c r="L17" s="135"/>
    </row>
    <row r="18" ht="41.25" customHeight="1" spans="1:12">
      <c r="A18" s="100"/>
      <c r="B18" s="101"/>
      <c r="C18" s="102"/>
      <c r="D18" s="103"/>
      <c r="E18" s="102"/>
      <c r="F18" s="104"/>
      <c r="G18" s="103"/>
      <c r="H18" s="105" t="s">
        <v>28</v>
      </c>
      <c r="I18" s="136"/>
      <c r="J18" s="136"/>
      <c r="K18" s="136"/>
      <c r="L18" s="137"/>
    </row>
    <row r="19" ht="14.6" spans="1:12">
      <c r="A19" s="100"/>
      <c r="B19" s="101"/>
      <c r="C19" s="102"/>
      <c r="D19" s="103"/>
      <c r="E19" s="102"/>
      <c r="F19" s="104"/>
      <c r="G19" s="103"/>
      <c r="H19" s="105"/>
      <c r="I19" s="136"/>
      <c r="J19" s="136"/>
      <c r="K19" s="136"/>
      <c r="L19" s="137"/>
    </row>
    <row r="20" ht="13.85" spans="1:12">
      <c r="A20" s="100"/>
      <c r="B20" s="101"/>
      <c r="C20" s="102"/>
      <c r="D20" s="103"/>
      <c r="E20" s="102"/>
      <c r="F20" s="104"/>
      <c r="G20" s="103"/>
      <c r="H20" s="99" t="s">
        <v>29</v>
      </c>
      <c r="I20" s="134"/>
      <c r="J20" s="134"/>
      <c r="K20" s="134"/>
      <c r="L20" s="135"/>
    </row>
    <row r="21" ht="13.85" spans="1:12">
      <c r="A21" s="100"/>
      <c r="B21" s="101"/>
      <c r="C21" s="102"/>
      <c r="D21" s="103"/>
      <c r="E21" s="102"/>
      <c r="F21" s="104"/>
      <c r="G21" s="103"/>
      <c r="H21" s="105" t="s">
        <v>30</v>
      </c>
      <c r="I21" s="136"/>
      <c r="J21" s="136"/>
      <c r="K21" s="136"/>
      <c r="L21" s="137"/>
    </row>
    <row r="22" ht="14.25" customHeight="1" spans="1:12">
      <c r="A22" s="100"/>
      <c r="B22" s="101"/>
      <c r="C22" s="102"/>
      <c r="D22" s="103"/>
      <c r="E22" s="102"/>
      <c r="F22" s="104"/>
      <c r="G22" s="103"/>
      <c r="H22" s="105"/>
      <c r="I22" s="136"/>
      <c r="J22" s="136"/>
      <c r="K22" s="136"/>
      <c r="L22" s="137"/>
    </row>
    <row r="23" ht="14.6" spans="1:12">
      <c r="A23" s="88" t="s">
        <v>6</v>
      </c>
      <c r="B23" s="89"/>
      <c r="C23" s="90">
        <f>C14+E14</f>
        <v>5</v>
      </c>
      <c r="D23" s="91"/>
      <c r="E23" s="90">
        <v>2</v>
      </c>
      <c r="F23" s="92"/>
      <c r="G23" s="91"/>
      <c r="H23" s="93" t="s">
        <v>31</v>
      </c>
      <c r="I23" s="132"/>
      <c r="J23" s="132"/>
      <c r="K23" s="132"/>
      <c r="L23" s="133"/>
    </row>
    <row r="24" customHeight="1" spans="1:12">
      <c r="A24" s="94" t="s">
        <v>7</v>
      </c>
      <c r="B24" s="95"/>
      <c r="C24" s="96">
        <f>C23+E23</f>
        <v>7</v>
      </c>
      <c r="D24" s="97"/>
      <c r="E24" s="96">
        <v>2</v>
      </c>
      <c r="F24" s="98"/>
      <c r="G24" s="97"/>
      <c r="H24" s="117" t="s">
        <v>32</v>
      </c>
      <c r="I24" s="150"/>
      <c r="J24" s="150"/>
      <c r="K24" s="150"/>
      <c r="L24" s="151"/>
    </row>
    <row r="25" ht="31.5" customHeight="1" spans="1:12">
      <c r="A25" s="100"/>
      <c r="B25" s="101"/>
      <c r="C25" s="102"/>
      <c r="D25" s="103"/>
      <c r="E25" s="102"/>
      <c r="F25" s="118"/>
      <c r="G25" s="103"/>
      <c r="H25" s="119"/>
      <c r="I25" s="152"/>
      <c r="J25" s="152"/>
      <c r="K25" s="152"/>
      <c r="L25" s="153"/>
    </row>
    <row r="26" ht="14.25" spans="1:12">
      <c r="A26" s="107"/>
      <c r="B26" s="108"/>
      <c r="C26" s="109"/>
      <c r="D26" s="110"/>
      <c r="E26" s="109"/>
      <c r="F26" s="111"/>
      <c r="G26" s="110"/>
      <c r="H26" s="112" t="s">
        <v>21</v>
      </c>
      <c r="I26" s="140"/>
      <c r="J26" s="140"/>
      <c r="K26" s="140"/>
      <c r="L26" s="141"/>
    </row>
    <row r="27" spans="1:12">
      <c r="A27" s="94" t="s">
        <v>8</v>
      </c>
      <c r="B27" s="95"/>
      <c r="C27" s="96">
        <f>C24+E24</f>
        <v>9</v>
      </c>
      <c r="D27" s="97"/>
      <c r="E27" s="96" t="s">
        <v>33</v>
      </c>
      <c r="F27" s="98"/>
      <c r="G27" s="97"/>
      <c r="H27" s="120" t="s">
        <v>34</v>
      </c>
      <c r="I27" s="154"/>
      <c r="J27" s="154"/>
      <c r="K27" s="154"/>
      <c r="L27" s="155"/>
    </row>
    <row r="28" ht="56.25" customHeight="1" spans="1:12">
      <c r="A28" s="107"/>
      <c r="B28" s="108"/>
      <c r="C28" s="109"/>
      <c r="D28" s="110"/>
      <c r="E28" s="109"/>
      <c r="F28" s="111"/>
      <c r="G28" s="110"/>
      <c r="H28" s="121"/>
      <c r="I28" s="156"/>
      <c r="J28" s="156"/>
      <c r="K28" s="156"/>
      <c r="L28" s="157"/>
    </row>
    <row r="29" spans="1:12">
      <c r="A29" s="94" t="s">
        <v>9</v>
      </c>
      <c r="B29" s="95"/>
      <c r="C29" s="96" t="s">
        <v>35</v>
      </c>
      <c r="D29" s="97"/>
      <c r="E29" s="96">
        <v>2</v>
      </c>
      <c r="F29" s="98"/>
      <c r="G29" s="97"/>
      <c r="H29" s="113" t="s">
        <v>36</v>
      </c>
      <c r="I29" s="142"/>
      <c r="J29" s="142"/>
      <c r="K29" s="142"/>
      <c r="L29" s="143"/>
    </row>
    <row r="30" ht="13.85" spans="1:12">
      <c r="A30" s="100"/>
      <c r="B30" s="101"/>
      <c r="C30" s="102"/>
      <c r="D30" s="103"/>
      <c r="E30" s="102"/>
      <c r="F30" s="118"/>
      <c r="G30" s="103"/>
      <c r="H30" s="116"/>
      <c r="I30" s="148"/>
      <c r="J30" s="148"/>
      <c r="K30" s="148"/>
      <c r="L30" s="149"/>
    </row>
    <row r="31" ht="27.75" customHeight="1" spans="1:12">
      <c r="A31" s="100"/>
      <c r="B31" s="101"/>
      <c r="C31" s="102"/>
      <c r="D31" s="103"/>
      <c r="E31" s="102"/>
      <c r="F31" s="118"/>
      <c r="G31" s="103"/>
      <c r="H31" s="122" t="s">
        <v>37</v>
      </c>
      <c r="I31" s="158"/>
      <c r="J31" s="158"/>
      <c r="K31" s="158"/>
      <c r="L31" s="159"/>
    </row>
    <row r="32" ht="27" customHeight="1" spans="1:12">
      <c r="A32" s="107"/>
      <c r="B32" s="108"/>
      <c r="C32" s="109"/>
      <c r="D32" s="110"/>
      <c r="E32" s="109"/>
      <c r="F32" s="111"/>
      <c r="G32" s="110"/>
      <c r="H32" s="112" t="s">
        <v>38</v>
      </c>
      <c r="I32" s="140"/>
      <c r="J32" s="140"/>
      <c r="K32" s="140"/>
      <c r="L32" s="141"/>
    </row>
  </sheetData>
  <mergeCells count="59">
    <mergeCell ref="C3:D3"/>
    <mergeCell ref="F3:G3"/>
    <mergeCell ref="H3:I3"/>
    <mergeCell ref="J3:K3"/>
    <mergeCell ref="C4:D4"/>
    <mergeCell ref="F4:G4"/>
    <mergeCell ref="H4:I4"/>
    <mergeCell ref="J4:K4"/>
    <mergeCell ref="A5:B5"/>
    <mergeCell ref="C5:D5"/>
    <mergeCell ref="E5:G5"/>
    <mergeCell ref="H5:L5"/>
    <mergeCell ref="A6:B6"/>
    <mergeCell ref="C6:D6"/>
    <mergeCell ref="E6:G6"/>
    <mergeCell ref="H6:L6"/>
    <mergeCell ref="H9:L9"/>
    <mergeCell ref="H10:L10"/>
    <mergeCell ref="H11:L11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A23:B23"/>
    <mergeCell ref="C23:D23"/>
    <mergeCell ref="E23:G23"/>
    <mergeCell ref="H23:L23"/>
    <mergeCell ref="H26:L26"/>
    <mergeCell ref="H29:L29"/>
    <mergeCell ref="H30:L30"/>
    <mergeCell ref="H31:L31"/>
    <mergeCell ref="H32:L32"/>
    <mergeCell ref="H24:L25"/>
    <mergeCell ref="H12:L13"/>
    <mergeCell ref="A27:B28"/>
    <mergeCell ref="C27:D28"/>
    <mergeCell ref="E27:G28"/>
    <mergeCell ref="H27:L28"/>
    <mergeCell ref="A24:B26"/>
    <mergeCell ref="C24:D26"/>
    <mergeCell ref="E24:G26"/>
    <mergeCell ref="A11:B13"/>
    <mergeCell ref="C11:D13"/>
    <mergeCell ref="A29:B32"/>
    <mergeCell ref="C29:D32"/>
    <mergeCell ref="E29:G32"/>
    <mergeCell ref="E14:G22"/>
    <mergeCell ref="A14:B22"/>
    <mergeCell ref="C14:D22"/>
    <mergeCell ref="E11:G13"/>
    <mergeCell ref="A7:B10"/>
    <mergeCell ref="C7:D10"/>
    <mergeCell ref="H7:L8"/>
    <mergeCell ref="E7:G10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G27" sqref="G27"/>
    </sheetView>
  </sheetViews>
  <sheetFormatPr defaultColWidth="9" defaultRowHeight="13.5" outlineLevelCol="7"/>
  <cols>
    <col min="1" max="1" width="15.5044247787611" style="3" customWidth="1"/>
    <col min="2" max="2" width="13.5044247787611" style="3" customWidth="1"/>
    <col min="3" max="4" width="9" style="3"/>
    <col min="5" max="5" width="40.7522123893805" style="3" customWidth="1"/>
    <col min="6" max="6" width="16.1238938053097" style="3" customWidth="1"/>
    <col min="7" max="7" width="12.1238938053097" style="3" customWidth="1"/>
    <col min="8" max="8" width="41.1238938053097" style="3" customWidth="1"/>
    <col min="9" max="16384" width="9" style="3"/>
  </cols>
  <sheetData>
    <row r="1" spans="1:8">
      <c r="A1" s="4" t="s">
        <v>39</v>
      </c>
      <c r="B1" s="4" t="s">
        <v>6</v>
      </c>
      <c r="C1" s="4" t="s">
        <v>40</v>
      </c>
      <c r="D1" s="4" t="s">
        <v>16</v>
      </c>
      <c r="E1" s="4"/>
      <c r="F1" s="4" t="s">
        <v>41</v>
      </c>
      <c r="G1" s="4"/>
      <c r="H1" s="4"/>
    </row>
    <row r="2" spans="1:8">
      <c r="A2" s="4"/>
      <c r="B2" s="4"/>
      <c r="C2" s="4"/>
      <c r="D2" s="4" t="s">
        <v>42</v>
      </c>
      <c r="E2" s="5" t="s">
        <v>43</v>
      </c>
      <c r="F2" s="6" t="s">
        <v>43</v>
      </c>
      <c r="G2" s="7"/>
      <c r="H2" s="8"/>
    </row>
    <row r="3" spans="1:8">
      <c r="A3" s="9"/>
      <c r="B3" s="9"/>
      <c r="C3" s="9"/>
      <c r="D3" s="9"/>
      <c r="E3" s="10"/>
      <c r="F3" s="9"/>
      <c r="G3" s="9"/>
      <c r="H3" s="10"/>
    </row>
    <row r="4" ht="14.25" spans="1:8">
      <c r="A4" s="11" t="s">
        <v>44</v>
      </c>
      <c r="B4" s="12" t="s">
        <v>45</v>
      </c>
      <c r="C4" s="12">
        <v>1</v>
      </c>
      <c r="D4" s="12" t="s">
        <v>46</v>
      </c>
      <c r="E4" s="13" t="s">
        <v>47</v>
      </c>
      <c r="F4" s="12" t="s">
        <v>48</v>
      </c>
      <c r="G4" s="12"/>
      <c r="H4" s="14"/>
    </row>
    <row r="5" spans="1:8">
      <c r="A5" s="9"/>
      <c r="B5" s="9"/>
      <c r="C5" s="9"/>
      <c r="D5" s="9"/>
      <c r="E5" s="10"/>
      <c r="F5" s="9"/>
      <c r="G5" s="9"/>
      <c r="H5" s="10"/>
    </row>
    <row r="6" spans="1:8">
      <c r="A6" s="15" t="s">
        <v>49</v>
      </c>
      <c r="B6" s="16" t="s">
        <v>50</v>
      </c>
      <c r="C6" s="16">
        <v>4</v>
      </c>
      <c r="D6" s="16" t="s">
        <v>51</v>
      </c>
      <c r="E6" s="17" t="s">
        <v>52</v>
      </c>
      <c r="F6" s="18" t="s">
        <v>46</v>
      </c>
      <c r="G6" s="19" t="s">
        <v>53</v>
      </c>
      <c r="H6" s="20"/>
    </row>
    <row r="7" spans="1:8">
      <c r="A7" s="21"/>
      <c r="B7" s="22"/>
      <c r="C7" s="22"/>
      <c r="D7" s="22"/>
      <c r="E7" s="23"/>
      <c r="F7" s="24"/>
      <c r="G7" s="25" t="s">
        <v>54</v>
      </c>
      <c r="H7" s="26"/>
    </row>
    <row r="8" spans="1:8">
      <c r="A8" s="21"/>
      <c r="B8" s="22"/>
      <c r="C8" s="22"/>
      <c r="D8" s="22"/>
      <c r="E8" s="23"/>
      <c r="F8" s="22" t="s">
        <v>55</v>
      </c>
      <c r="G8" s="27" t="s">
        <v>56</v>
      </c>
      <c r="H8" s="28"/>
    </row>
    <row r="9" spans="1:8">
      <c r="A9" s="29"/>
      <c r="B9" s="30"/>
      <c r="C9" s="30"/>
      <c r="D9" s="30"/>
      <c r="E9" s="31"/>
      <c r="F9" s="31"/>
      <c r="G9" s="31"/>
      <c r="H9" s="32"/>
    </row>
    <row r="10" spans="1:8">
      <c r="A10" s="9"/>
      <c r="B10" s="9"/>
      <c r="C10" s="9"/>
      <c r="D10" s="9"/>
      <c r="E10" s="10"/>
      <c r="F10" s="9"/>
      <c r="G10" s="9"/>
      <c r="H10" s="10"/>
    </row>
    <row r="11" spans="1:8">
      <c r="A11" s="15" t="s">
        <v>57</v>
      </c>
      <c r="B11" s="16" t="s">
        <v>58</v>
      </c>
      <c r="C11" s="16">
        <v>0</v>
      </c>
      <c r="D11" s="16">
        <v>0</v>
      </c>
      <c r="E11" s="33" t="s">
        <v>59</v>
      </c>
      <c r="F11" s="34" t="s">
        <v>60</v>
      </c>
      <c r="G11" s="34"/>
      <c r="H11" s="35" t="s">
        <v>61</v>
      </c>
    </row>
    <row r="12" spans="1:8">
      <c r="A12" s="21"/>
      <c r="B12" s="22"/>
      <c r="C12" s="22"/>
      <c r="D12" s="22"/>
      <c r="E12" s="36"/>
      <c r="F12" s="37"/>
      <c r="G12" s="37"/>
      <c r="H12" s="38" t="s">
        <v>62</v>
      </c>
    </row>
    <row r="13" spans="1:8">
      <c r="A13" s="21"/>
      <c r="B13" s="22"/>
      <c r="C13" s="22"/>
      <c r="D13" s="22"/>
      <c r="E13" s="36"/>
      <c r="F13" s="22" t="s">
        <v>63</v>
      </c>
      <c r="G13" s="22" t="s">
        <v>64</v>
      </c>
      <c r="H13" s="39" t="s">
        <v>65</v>
      </c>
    </row>
    <row r="14" spans="1:8">
      <c r="A14" s="21"/>
      <c r="B14" s="22"/>
      <c r="C14" s="22"/>
      <c r="D14" s="22"/>
      <c r="E14" s="36"/>
      <c r="F14" s="22"/>
      <c r="G14" s="40" t="s">
        <v>50</v>
      </c>
      <c r="H14" s="41" t="s">
        <v>66</v>
      </c>
    </row>
    <row r="15" spans="1:8">
      <c r="A15" s="21"/>
      <c r="B15" s="22"/>
      <c r="C15" s="22"/>
      <c r="D15" s="22"/>
      <c r="E15" s="36"/>
      <c r="F15" s="22"/>
      <c r="G15" s="40"/>
      <c r="H15" s="41" t="s">
        <v>67</v>
      </c>
    </row>
    <row r="16" spans="1:8">
      <c r="A16" s="21"/>
      <c r="B16" s="22"/>
      <c r="C16" s="22"/>
      <c r="D16" s="22"/>
      <c r="E16" s="36"/>
      <c r="F16" s="22"/>
      <c r="G16" s="42"/>
      <c r="H16" s="43"/>
    </row>
    <row r="17" spans="1:8">
      <c r="A17" s="21"/>
      <c r="B17" s="22"/>
      <c r="C17" s="22"/>
      <c r="D17" s="22"/>
      <c r="E17" s="36"/>
      <c r="F17" s="22"/>
      <c r="G17" s="42"/>
      <c r="H17" s="43"/>
    </row>
    <row r="18" spans="1:8">
      <c r="A18" s="21"/>
      <c r="B18" s="22"/>
      <c r="C18" s="22"/>
      <c r="D18" s="22"/>
      <c r="E18" s="36"/>
      <c r="F18" s="22"/>
      <c r="G18" s="40" t="s">
        <v>68</v>
      </c>
      <c r="H18" s="41" t="s">
        <v>69</v>
      </c>
    </row>
    <row r="19" spans="1:8">
      <c r="A19" s="21"/>
      <c r="B19" s="22"/>
      <c r="C19" s="22"/>
      <c r="D19" s="22"/>
      <c r="E19" s="36"/>
      <c r="F19" s="22"/>
      <c r="G19" s="40"/>
      <c r="H19" s="41" t="s">
        <v>70</v>
      </c>
    </row>
    <row r="20" spans="1:8">
      <c r="A20" s="21"/>
      <c r="B20" s="22"/>
      <c r="C20" s="22"/>
      <c r="D20" s="22"/>
      <c r="E20" s="36"/>
      <c r="F20" s="22"/>
      <c r="G20" s="40"/>
      <c r="H20" s="41" t="s">
        <v>71</v>
      </c>
    </row>
    <row r="21" ht="14.25" spans="1:8">
      <c r="A21" s="29"/>
      <c r="B21" s="30"/>
      <c r="C21" s="30"/>
      <c r="D21" s="30"/>
      <c r="E21" s="44"/>
      <c r="F21" s="30"/>
      <c r="G21" s="45" t="s">
        <v>72</v>
      </c>
      <c r="H21" s="46" t="s">
        <v>73</v>
      </c>
    </row>
    <row r="22" ht="14.25" spans="1:5">
      <c r="A22" s="9"/>
      <c r="B22" s="9"/>
      <c r="C22" s="9"/>
      <c r="D22" s="9"/>
      <c r="E22" s="10"/>
    </row>
    <row r="23" spans="1:8">
      <c r="A23" s="15" t="s">
        <v>74</v>
      </c>
      <c r="B23" s="16" t="s">
        <v>68</v>
      </c>
      <c r="C23" s="16" t="s">
        <v>75</v>
      </c>
      <c r="D23" s="22" t="s">
        <v>51</v>
      </c>
      <c r="E23" s="17" t="s">
        <v>76</v>
      </c>
      <c r="F23" s="22" t="s">
        <v>46</v>
      </c>
      <c r="G23" s="47" t="s">
        <v>77</v>
      </c>
      <c r="H23" s="47"/>
    </row>
    <row r="24" spans="1:8">
      <c r="A24" s="48"/>
      <c r="B24" s="49"/>
      <c r="C24" s="49"/>
      <c r="D24" s="22" t="s">
        <v>55</v>
      </c>
      <c r="E24" s="23" t="s">
        <v>78</v>
      </c>
      <c r="F24" s="22"/>
      <c r="G24" s="47" t="s">
        <v>79</v>
      </c>
      <c r="H24" s="47"/>
    </row>
    <row r="25" spans="1:8">
      <c r="A25" s="48"/>
      <c r="B25" s="49"/>
      <c r="C25" s="49"/>
      <c r="D25" s="22" t="s">
        <v>80</v>
      </c>
      <c r="E25" s="23" t="s">
        <v>81</v>
      </c>
      <c r="F25" s="22"/>
      <c r="G25" s="47" t="s">
        <v>82</v>
      </c>
      <c r="H25" s="47"/>
    </row>
    <row r="26" ht="14.25" spans="1:8">
      <c r="A26" s="29"/>
      <c r="B26" s="30"/>
      <c r="C26" s="30"/>
      <c r="D26" s="30"/>
      <c r="E26" s="31"/>
      <c r="F26" s="50" t="s">
        <v>51</v>
      </c>
      <c r="G26" s="51" t="s">
        <v>83</v>
      </c>
      <c r="H26" s="52"/>
    </row>
    <row r="27" spans="1:5">
      <c r="A27" s="9"/>
      <c r="B27" s="9"/>
      <c r="C27" s="9"/>
      <c r="D27" s="9"/>
      <c r="E27" s="10"/>
    </row>
    <row r="28" spans="1:8">
      <c r="A28" s="15" t="s">
        <v>84</v>
      </c>
      <c r="B28" s="16" t="s">
        <v>72</v>
      </c>
      <c r="C28" s="16">
        <v>16</v>
      </c>
      <c r="D28" s="53" t="s">
        <v>85</v>
      </c>
      <c r="E28" s="54" t="s">
        <v>86</v>
      </c>
      <c r="F28" s="53" t="s">
        <v>46</v>
      </c>
      <c r="G28" s="55" t="s">
        <v>87</v>
      </c>
      <c r="H28" s="56"/>
    </row>
    <row r="29" spans="1:8">
      <c r="A29" s="21"/>
      <c r="B29" s="22"/>
      <c r="C29" s="22"/>
      <c r="D29" s="49"/>
      <c r="E29" s="57"/>
      <c r="F29" s="49"/>
      <c r="G29" s="58" t="s">
        <v>88</v>
      </c>
      <c r="H29" s="59"/>
    </row>
    <row r="30" spans="1:8">
      <c r="A30" s="21"/>
      <c r="B30" s="22"/>
      <c r="C30" s="22"/>
      <c r="D30" s="49"/>
      <c r="E30" s="57"/>
      <c r="F30" s="49"/>
      <c r="G30" s="58" t="s">
        <v>89</v>
      </c>
      <c r="H30" s="59"/>
    </row>
    <row r="31" spans="1:8">
      <c r="A31" s="21"/>
      <c r="B31" s="22"/>
      <c r="C31" s="22"/>
      <c r="D31" s="49"/>
      <c r="E31" s="57"/>
      <c r="F31" s="49"/>
      <c r="G31" s="60" t="s">
        <v>90</v>
      </c>
      <c r="H31" s="61"/>
    </row>
    <row r="32" spans="1:8">
      <c r="A32" s="21"/>
      <c r="B32" s="22"/>
      <c r="C32" s="22"/>
      <c r="D32" s="49"/>
      <c r="E32" s="57"/>
      <c r="F32" s="49"/>
      <c r="G32" s="58" t="s">
        <v>91</v>
      </c>
      <c r="H32" s="59"/>
    </row>
    <row r="33" spans="1:8">
      <c r="A33" s="29"/>
      <c r="B33" s="30"/>
      <c r="C33" s="30"/>
      <c r="D33" s="50"/>
      <c r="E33" s="62"/>
      <c r="F33" s="50"/>
      <c r="G33" s="63" t="s">
        <v>92</v>
      </c>
      <c r="H33" s="64"/>
    </row>
    <row r="34" spans="1:5">
      <c r="A34" s="9"/>
      <c r="B34" s="9"/>
      <c r="C34" s="9"/>
      <c r="D34" s="9"/>
      <c r="E34" s="10"/>
    </row>
    <row r="35" spans="1:8">
      <c r="A35" s="65" t="s">
        <v>93</v>
      </c>
      <c r="B35" s="53" t="s">
        <v>94</v>
      </c>
      <c r="C35" s="53">
        <v>0</v>
      </c>
      <c r="D35" s="53">
        <v>0</v>
      </c>
      <c r="E35" s="54" t="s">
        <v>59</v>
      </c>
      <c r="F35" s="53" t="s">
        <v>48</v>
      </c>
      <c r="G35" s="53"/>
      <c r="H35" s="66"/>
    </row>
    <row r="36" spans="1:8">
      <c r="A36" s="67"/>
      <c r="B36" s="50"/>
      <c r="C36" s="50"/>
      <c r="D36" s="50"/>
      <c r="E36" s="62"/>
      <c r="F36" s="50"/>
      <c r="G36" s="50"/>
      <c r="H36" s="68"/>
    </row>
  </sheetData>
  <mergeCells count="53">
    <mergeCell ref="D1:E1"/>
    <mergeCell ref="F1:H1"/>
    <mergeCell ref="F2:H2"/>
    <mergeCell ref="F4:H4"/>
    <mergeCell ref="G6:H6"/>
    <mergeCell ref="G7:H7"/>
    <mergeCell ref="G8:H8"/>
    <mergeCell ref="F9:H9"/>
    <mergeCell ref="G23:H23"/>
    <mergeCell ref="G24:H24"/>
    <mergeCell ref="G25:H25"/>
    <mergeCell ref="G26:H26"/>
    <mergeCell ref="G28:H28"/>
    <mergeCell ref="G29:H29"/>
    <mergeCell ref="G30:H30"/>
    <mergeCell ref="G31:H31"/>
    <mergeCell ref="G32:H32"/>
    <mergeCell ref="G33:H33"/>
    <mergeCell ref="A1:A2"/>
    <mergeCell ref="A6:A9"/>
    <mergeCell ref="A11:A21"/>
    <mergeCell ref="A23:A26"/>
    <mergeCell ref="A28:A33"/>
    <mergeCell ref="A35:A36"/>
    <mergeCell ref="B1:B2"/>
    <mergeCell ref="B6:B9"/>
    <mergeCell ref="B11:B21"/>
    <mergeCell ref="B23:B26"/>
    <mergeCell ref="B28:B33"/>
    <mergeCell ref="B35:B36"/>
    <mergeCell ref="C1:C2"/>
    <mergeCell ref="C6:C9"/>
    <mergeCell ref="C11:C21"/>
    <mergeCell ref="C23:C26"/>
    <mergeCell ref="C28:C33"/>
    <mergeCell ref="C35:C36"/>
    <mergeCell ref="D6:D9"/>
    <mergeCell ref="D11:D21"/>
    <mergeCell ref="D28:D33"/>
    <mergeCell ref="D35:D36"/>
    <mergeCell ref="E6:E9"/>
    <mergeCell ref="E11:E21"/>
    <mergeCell ref="E28:E33"/>
    <mergeCell ref="E35:E36"/>
    <mergeCell ref="F6:F7"/>
    <mergeCell ref="F13:F21"/>
    <mergeCell ref="F23:F25"/>
    <mergeCell ref="F28:F33"/>
    <mergeCell ref="G14:G15"/>
    <mergeCell ref="G16:G17"/>
    <mergeCell ref="G18:G20"/>
    <mergeCell ref="F11:G12"/>
    <mergeCell ref="F35:H36"/>
  </mergeCells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1"/>
  <sheetViews>
    <sheetView topLeftCell="A122" workbookViewId="0">
      <selection activeCell="A29" sqref="A29"/>
    </sheetView>
  </sheetViews>
  <sheetFormatPr defaultColWidth="9" defaultRowHeight="13.5"/>
  <cols>
    <col min="1" max="1" width="99.3716814159292" customWidth="1"/>
  </cols>
  <sheetData>
    <row r="1" hidden="1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customHeight="1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idden="1" customHeight="1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idden="1" customHeight="1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idden="1" customHeight="1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idden="1" customHeight="1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idden="1" customHeight="1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idden="1" customHeight="1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hidden="1" customHeight="1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idden="1" customHeight="1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idden="1" customHeight="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idden="1" customHeight="1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idden="1" customHeight="1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idden="1" customHeight="1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idden="1" customHeight="1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idden="1" customHeight="1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idden="1" customHeight="1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idden="1" customHeight="1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idden="1" customHeight="1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">
      <c r="A20" t="s">
        <v>95</v>
      </c>
    </row>
    <row r="21" spans="1:1">
      <c r="A21" t="s">
        <v>96</v>
      </c>
    </row>
    <row r="22" spans="1:1">
      <c r="A22" t="s">
        <v>97</v>
      </c>
    </row>
    <row r="23" spans="1:1">
      <c r="A23" t="s">
        <v>98</v>
      </c>
    </row>
    <row r="24" spans="1:1">
      <c r="A24" t="s">
        <v>99</v>
      </c>
    </row>
    <row r="25" spans="1:1">
      <c r="A25" t="s">
        <v>100</v>
      </c>
    </row>
    <row r="26" spans="1:1">
      <c r="A26" t="s">
        <v>101</v>
      </c>
    </row>
    <row r="27" spans="1:1">
      <c r="A27" t="s">
        <v>102</v>
      </c>
    </row>
    <row r="28" spans="1:1">
      <c r="A28" t="s">
        <v>103</v>
      </c>
    </row>
    <row r="29" spans="1:1">
      <c r="A29" t="s">
        <v>104</v>
      </c>
    </row>
    <row r="30" spans="1:1">
      <c r="A30" t="s">
        <v>105</v>
      </c>
    </row>
    <row r="31" spans="1:1">
      <c r="A31" t="s">
        <v>106</v>
      </c>
    </row>
    <row r="32" spans="1:1">
      <c r="A32" t="s">
        <v>107</v>
      </c>
    </row>
    <row r="34" spans="1:1">
      <c r="A34" t="s">
        <v>108</v>
      </c>
    </row>
    <row r="35" spans="1:1">
      <c r="A35" t="s">
        <v>109</v>
      </c>
    </row>
    <row r="36" spans="1:1">
      <c r="A36" t="s">
        <v>110</v>
      </c>
    </row>
    <row r="37" spans="1:1">
      <c r="A37" t="s">
        <v>109</v>
      </c>
    </row>
    <row r="38" spans="1:1">
      <c r="A38" t="s">
        <v>108</v>
      </c>
    </row>
    <row r="39" spans="1:1">
      <c r="A39" t="s">
        <v>111</v>
      </c>
    </row>
    <row r="40" spans="1:1">
      <c r="A40" t="s">
        <v>112</v>
      </c>
    </row>
    <row r="41" spans="1:1">
      <c r="A41" t="s">
        <v>113</v>
      </c>
    </row>
    <row r="42" spans="1:1">
      <c r="A42" t="s">
        <v>114</v>
      </c>
    </row>
    <row r="43" spans="1:1">
      <c r="A43" t="s">
        <v>115</v>
      </c>
    </row>
    <row r="44" spans="1:1">
      <c r="A44" t="s">
        <v>116</v>
      </c>
    </row>
    <row r="45" spans="1:1">
      <c r="A45" t="s">
        <v>117</v>
      </c>
    </row>
    <row r="46" spans="1:1">
      <c r="A46" t="s">
        <v>118</v>
      </c>
    </row>
    <row r="47" spans="1:1">
      <c r="A47" t="s">
        <v>119</v>
      </c>
    </row>
    <row r="48" spans="1:1">
      <c r="A48" t="s">
        <v>120</v>
      </c>
    </row>
    <row r="49" spans="1:1">
      <c r="A49" t="s">
        <v>121</v>
      </c>
    </row>
    <row r="50" spans="1:1">
      <c r="A50" t="s">
        <v>122</v>
      </c>
    </row>
    <row r="51" spans="1:1">
      <c r="A51" t="s">
        <v>123</v>
      </c>
    </row>
    <row r="52" spans="1:1">
      <c r="A52" t="s">
        <v>124</v>
      </c>
    </row>
    <row r="53" spans="1:1">
      <c r="A53" t="s">
        <v>125</v>
      </c>
    </row>
    <row r="54" spans="1:1">
      <c r="A54" t="s">
        <v>126</v>
      </c>
    </row>
    <row r="55" spans="1:1">
      <c r="A55" t="s">
        <v>127</v>
      </c>
    </row>
    <row r="56" spans="1:1">
      <c r="A56" t="s">
        <v>128</v>
      </c>
    </row>
    <row r="57" spans="1:1">
      <c r="A57" t="s">
        <v>129</v>
      </c>
    </row>
    <row r="58" spans="1:1">
      <c r="A58" t="s">
        <v>130</v>
      </c>
    </row>
    <row r="59" spans="1:1">
      <c r="A59" t="s">
        <v>131</v>
      </c>
    </row>
    <row r="60" spans="1:1">
      <c r="A60" t="s">
        <v>132</v>
      </c>
    </row>
    <row r="61" spans="1:1">
      <c r="A61" t="s">
        <v>133</v>
      </c>
    </row>
    <row r="62" spans="1:1">
      <c r="A62" t="s">
        <v>134</v>
      </c>
    </row>
    <row r="63" spans="1:1">
      <c r="A63" t="s">
        <v>135</v>
      </c>
    </row>
    <row r="64" spans="1:1">
      <c r="A64" t="s">
        <v>136</v>
      </c>
    </row>
    <row r="65" spans="1:1">
      <c r="A65" t="s">
        <v>137</v>
      </c>
    </row>
    <row r="66" spans="1:1">
      <c r="A66" t="s">
        <v>138</v>
      </c>
    </row>
    <row r="67" spans="1:1">
      <c r="A67" t="s">
        <v>139</v>
      </c>
    </row>
    <row r="68" spans="1:1">
      <c r="A68" t="s">
        <v>140</v>
      </c>
    </row>
    <row r="69" spans="1:1">
      <c r="A69" t="s">
        <v>141</v>
      </c>
    </row>
    <row r="70" spans="1:1">
      <c r="A70" t="s">
        <v>142</v>
      </c>
    </row>
    <row r="71" spans="1:1">
      <c r="A71" t="s">
        <v>143</v>
      </c>
    </row>
    <row r="72" spans="1:1">
      <c r="A72" t="s">
        <v>144</v>
      </c>
    </row>
    <row r="75" spans="1:1">
      <c r="A75" t="s">
        <v>145</v>
      </c>
    </row>
    <row r="76" spans="1:1">
      <c r="A76" t="s">
        <v>146</v>
      </c>
    </row>
    <row r="78" spans="1:1">
      <c r="A78" t="s">
        <v>147</v>
      </c>
    </row>
    <row r="79" spans="1:1">
      <c r="A79" t="s">
        <v>148</v>
      </c>
    </row>
    <row r="80" spans="1:1">
      <c r="A80" t="s">
        <v>149</v>
      </c>
    </row>
    <row r="81" spans="1:1">
      <c r="A81" t="s">
        <v>150</v>
      </c>
    </row>
    <row r="82" spans="1:1">
      <c r="A82" t="s">
        <v>151</v>
      </c>
    </row>
    <row r="83" spans="1:1">
      <c r="A83" t="s">
        <v>152</v>
      </c>
    </row>
    <row r="84" spans="1:1">
      <c r="A84" t="s">
        <v>153</v>
      </c>
    </row>
    <row r="85" spans="1:1">
      <c r="A85" t="s">
        <v>154</v>
      </c>
    </row>
    <row r="86" spans="1:1">
      <c r="A86" t="s">
        <v>155</v>
      </c>
    </row>
    <row r="87" spans="1:1">
      <c r="A87" t="s">
        <v>156</v>
      </c>
    </row>
    <row r="88" spans="1:1">
      <c r="A88" t="s">
        <v>157</v>
      </c>
    </row>
    <row r="89" spans="1:1">
      <c r="A89" t="s">
        <v>158</v>
      </c>
    </row>
    <row r="90" spans="1:1">
      <c r="A90" t="s">
        <v>159</v>
      </c>
    </row>
    <row r="91" spans="1:1">
      <c r="A91" t="s">
        <v>160</v>
      </c>
    </row>
    <row r="92" spans="1:1">
      <c r="A92" t="s">
        <v>161</v>
      </c>
    </row>
    <row r="93" spans="1:1">
      <c r="A93" t="s">
        <v>162</v>
      </c>
    </row>
    <row r="94" spans="1:1">
      <c r="A94" t="s">
        <v>163</v>
      </c>
    </row>
    <row r="95" spans="1:1">
      <c r="A95" t="s">
        <v>164</v>
      </c>
    </row>
    <row r="96" spans="1:1">
      <c r="A96" t="s">
        <v>144</v>
      </c>
    </row>
    <row r="98" spans="1:1">
      <c r="A98" t="s">
        <v>165</v>
      </c>
    </row>
    <row r="99" spans="1:1">
      <c r="A99" t="s">
        <v>148</v>
      </c>
    </row>
    <row r="100" spans="1:1">
      <c r="A100" s="2" t="s">
        <v>166</v>
      </c>
    </row>
    <row r="101" spans="1:1">
      <c r="A101" t="s">
        <v>167</v>
      </c>
    </row>
    <row r="102" spans="1:1">
      <c r="A102" t="s">
        <v>168</v>
      </c>
    </row>
    <row r="103" spans="1:1">
      <c r="A103" t="s">
        <v>148</v>
      </c>
    </row>
    <row r="104" spans="1:1">
      <c r="A104" t="s">
        <v>169</v>
      </c>
    </row>
    <row r="105" spans="1:1">
      <c r="A105" t="s">
        <v>170</v>
      </c>
    </row>
    <row r="106" spans="1:1">
      <c r="A106" t="s">
        <v>171</v>
      </c>
    </row>
    <row r="107" spans="1:1">
      <c r="A107" t="s">
        <v>172</v>
      </c>
    </row>
    <row r="108" spans="1:1">
      <c r="A108" t="s">
        <v>171</v>
      </c>
    </row>
    <row r="112" spans="1:1">
      <c r="A112" t="s">
        <v>95</v>
      </c>
    </row>
    <row r="113" spans="1:1">
      <c r="A113" t="s">
        <v>173</v>
      </c>
    </row>
    <row r="114" spans="1:1">
      <c r="A114" t="s">
        <v>174</v>
      </c>
    </row>
    <row r="115" spans="1:1">
      <c r="A115" t="s">
        <v>175</v>
      </c>
    </row>
    <row r="116" spans="1:1">
      <c r="A116" t="s">
        <v>176</v>
      </c>
    </row>
    <row r="117" spans="1:1">
      <c r="A117" t="s">
        <v>177</v>
      </c>
    </row>
    <row r="118" spans="1:1">
      <c r="A118" t="s">
        <v>106</v>
      </c>
    </row>
    <row r="119" spans="1:1">
      <c r="A119" t="s">
        <v>178</v>
      </c>
    </row>
    <row r="120" spans="1:1">
      <c r="A120" t="s">
        <v>179</v>
      </c>
    </row>
    <row r="121" spans="1:1">
      <c r="A121" t="s">
        <v>180</v>
      </c>
    </row>
    <row r="122" spans="1:1">
      <c r="A122" t="s">
        <v>181</v>
      </c>
    </row>
    <row r="124" spans="1:1">
      <c r="A124" t="s">
        <v>182</v>
      </c>
    </row>
    <row r="125" spans="1:1">
      <c r="A125" t="s">
        <v>183</v>
      </c>
    </row>
    <row r="126" spans="1:1">
      <c r="A126" t="s">
        <v>184</v>
      </c>
    </row>
    <row r="127" spans="1:1">
      <c r="A127" t="s">
        <v>185</v>
      </c>
    </row>
    <row r="128" spans="1:1">
      <c r="A128" t="s">
        <v>186</v>
      </c>
    </row>
    <row r="130" spans="1:1">
      <c r="A130" t="s">
        <v>187</v>
      </c>
    </row>
    <row r="131" spans="1:1">
      <c r="A131" t="s">
        <v>171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数据包格式</vt:lpstr>
      <vt:lpstr>固件升级</vt:lpstr>
      <vt:lpstr>crc表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你不知道的事1416970429</cp:lastModifiedBy>
  <dcterms:created xsi:type="dcterms:W3CDTF">2006-09-16T00:00:00Z</dcterms:created>
  <dcterms:modified xsi:type="dcterms:W3CDTF">2023-03-23T13:28:34Z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52F17530953B4C4A99A8612252F2385C</vt:lpwstr>
  </property>
  <property fmtid="{D5CDD505-2E9C-101B-9397-08002B2CF9AE}" pid="3" name="KSOProductBuildVer">
    <vt:lpwstr>2052-11.1.0.12970</vt:lpwstr>
  </property>
</Properties>
</file>